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4"/>
  <workbookPr/>
  <xr:revisionPtr revIDLastSave="0" documentId="8_{76BAED88-6E32-42A0-BA4F-7B5E6BB0FD48}" xr6:coauthVersionLast="47" xr6:coauthVersionMax="47" xr10:uidLastSave="{00000000-0000-0000-0000-000000000000}"/>
  <bookViews>
    <workbookView xWindow="0" yWindow="0" windowWidth="0" windowHeight="0" firstSheet="1" activeTab="2" xr2:uid="{00000000-000D-0000-FFFF-FFFF00000000}"/>
  </bookViews>
  <sheets>
    <sheet name="1. Metadata &amp; Summary" sheetId="1" r:id="rId1"/>
    <sheet name="2. Detailed Audit Log" sheetId="2" r:id="rId2"/>
    <sheet name="3. Hallucination Detection" sheetId="3" r:id="rId3"/>
    <sheet name="4. Self-Assessment Checklist" sheetId="4"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2" i="1" l="1"/>
</calcChain>
</file>

<file path=xl/sharedStrings.xml><?xml version="1.0" encoding="utf-8"?>
<sst xmlns="http://schemas.openxmlformats.org/spreadsheetml/2006/main" count="218" uniqueCount="175">
  <si>
    <t>AI AUDIT LOG - METADATA &amp; SUMMARY</t>
  </si>
  <si>
    <t>STUDENT INFORMATION</t>
  </si>
  <si>
    <t>Student Name:</t>
  </si>
  <si>
    <t xml:space="preserve">Châu Minh Tiến </t>
  </si>
  <si>
    <t>Student ID:</t>
  </si>
  <si>
    <t>QE200077</t>
  </si>
  <si>
    <t>Course:</t>
  </si>
  <si>
    <t>LAB211</t>
  </si>
  <si>
    <t>Assignment:</t>
  </si>
  <si>
    <t>Stadium Ticket Booking Simulation</t>
  </si>
  <si>
    <t>AI USAGE SUMMARY</t>
  </si>
  <si>
    <t>Total Prompts Used (all AI tools):</t>
  </si>
  <si>
    <t>[e.g., ~150]</t>
  </si>
  <si>
    <t>Core Prompts Logged:</t>
  </si>
  <si>
    <t>[e.g., 18]</t>
  </si>
  <si>
    <t>Selection Ratio:</t>
  </si>
  <si>
    <t>Should be 10-20%</t>
  </si>
  <si>
    <t>Hallucination Detected:</t>
  </si>
  <si>
    <t>[Count]</t>
  </si>
  <si>
    <t>AI TOOLS USED</t>
  </si>
  <si>
    <t>AI Tool</t>
  </si>
  <si>
    <t>Purpose</t>
  </si>
  <si>
    <t>Frequency</t>
  </si>
  <si>
    <t>Main Value</t>
  </si>
  <si>
    <t>ChatGPT</t>
  </si>
  <si>
    <t>Code generation, debugging</t>
  </si>
  <si>
    <t>High</t>
  </si>
  <si>
    <t>Rapid prototyping</t>
  </si>
  <si>
    <t>Claude</t>
  </si>
  <si>
    <t>Requirement analysis, design review</t>
  </si>
  <si>
    <t>Medium</t>
  </si>
  <si>
    <t>Deep reflection</t>
  </si>
  <si>
    <t>GitHub Copilot</t>
  </si>
  <si>
    <t>Auto-completion</t>
  </si>
  <si>
    <t>Speed up coding</t>
  </si>
  <si>
    <t>[Add more...]</t>
  </si>
  <si>
    <t>CORE PROMPTS DISTRIBUTION BY DTC COMPONENT</t>
  </si>
  <si>
    <t>DTC Component</t>
  </si>
  <si>
    <t>Number of Prompts</t>
  </si>
  <si>
    <t>Required (Min)</t>
  </si>
  <si>
    <t>Decomposition</t>
  </si>
  <si>
    <t>≥ 1</t>
  </si>
  <si>
    <t>Pattern Recognition</t>
  </si>
  <si>
    <t>Abstraction</t>
  </si>
  <si>
    <t>Algorithms</t>
  </si>
  <si>
    <t>DETAILED AI AUDIT LOG</t>
  </si>
  <si>
    <t>INSTRUCTIONS: Chỉ ghi CORE PROMPTS (Decision/Problem-Solving/Verification). Mỗi entry phải trả lời đầy đủ 4 câu hỏi trong Human Delta.</t>
  </si>
  <si>
    <t>Entry #</t>
  </si>
  <si>
    <t>Prompt Type</t>
  </si>
  <si>
    <t>Stage/Component</t>
  </si>
  <si>
    <t>Problem/Context</t>
  </si>
  <si>
    <t>Prompt to AI</t>
  </si>
  <si>
    <t>AI Response (Summary)</t>
  </si>
  <si>
    <t>Human Delta &amp; Reflection</t>
  </si>
  <si>
    <t>Evidence</t>
  </si>
  <si>
    <t>DECISION</t>
  </si>
  <si>
    <t>Cần chia nhỏ requirement</t>
  </si>
  <si>
    <t>Chia nhỏ bài toán mô phỏng đặt vé sân vận động thành các module.</t>
  </si>
  <si>
    <t>AI suggested 8 packages: model, repository, service, concurrency, simulator, metrics, util, data. Each package has 2 to 3 subclasses.</t>
  </si>
  <si>
    <t>Critical Thinking: 8 có thể không nhiều nhưng có thể gộp các class lại để gọn hơn 
Contextualization: Project scope nhỏ, chỉ cần core functions.
Creative Synthesis: Tôi gộp thành 5 modules: Model, Data Access Layer/Repository, Service Layer, Simulation &amp; Concurrency, Exceptions.
Decision: Chọn 5 modules vì đủ để implement requirements mà không phức tạp.</t>
  </si>
  <si>
    <t>Screenshot comparison 10 vs 5</t>
  </si>
  <si>
    <t>Chưa xác định luồng đặt vé và áp dụng giảm giá trong hệ thống.</t>
  </si>
  <si>
    <t>Khi đặt vé, tôi có cần chọn hạng vé để áp dụng mã giảm giá rồi tiến hành thanh toán hay quy trình diễn ra như thế nào?</t>
  </si>
  <si>
    <t>AI đề xuất quy trình: Select Match → Select Seat → Apply Discount → Payment → Receive Ticket.</t>
  </si>
  <si>
    <t xml:space="preserve">Critical Thinking:
AI đưa ra flow hợp lý nhưng chưa đề cập trường hợp người dùng giữ ghế quá lâu rồi không thanh toán.
Contextualization:
Hệ thống bán vé cần tránh tình trạng ghế bị khóa vô thời hạn khi người dùng thoát giữa chừng.
Creative Synthesis:
Tôi bổ sung trạng thái Reserved và timeout 5 phút trước khi thanh toán. Sau timeout ghế sẽ quay lại Available.
Decision:
Tôi chọn workflow có bước giữ ghế tạm thời trước khi thanh toán để đảm bảo trải nghiệm người dùng và tránh race condition.Contextualization: Requirements yêu cầu partial name search.
Creative Synthesis: Test 3 approaches: Binary Search, Linear Search, HashMap. HashMap fastest (2ms).
</t>
  </si>
  <si>
    <t>Code snippet + timing comparison</t>
  </si>
  <si>
    <t>Chưa xác định rõ các actor nào cần chức năng Login/Logout trong hệ thống bán vé.</t>
  </si>
  <si>
    <t>Ngoài Fan ra, các diễn viên khác có đăng nhập và đăng xuất không?</t>
  </si>
  <si>
    <t>AI đề xuất tất cả actor có tài khoản riêng nên có Login/Logout. Fan, Admin, Finance và Staff đều có thể dùng chung cơ chế xác thực.</t>
  </si>
  <si>
    <t>Critical Thinking:
AI đúng khi đề xuất cơ chế xác thực chung nhưng chưa phân tích sự khác biệt giữa actor nội bộ và actor bên ngoài hệ thống.
Contextualization:
Trong project của tôi, Finance và Staff là nhân viên nội bộ nên luôn cần đăng nhập. Fan có thể xem thông tin trận đấu mà không cần đăng nhập, chỉ cần đăng nhập khi mua vé.
Creative Synthesis:
Tôi chia chức năng thành Guest User và Authenticated User. Guest có thể Browse Match, còn Login chỉ bắt buộc với các chức năng Booking và Payment.
Decision:
Tôi quyết định giữ Login/Logout cho Fan, Admin, Finance và Staff nhưng chỉ yêu cầu Fan đăng nhập khi thực hiện giao dịch.Contextualization: AI fabricated paper to answer my question.
Creative Synthesis: Found real paper 'Jones et al. 2022' with similar topic.
Decision: Replace with verified paper from Google Scholar.</t>
  </si>
  <si>
    <t>Google Scholar screenshot</t>
  </si>
  <si>
    <t>VERIFICATION</t>
  </si>
  <si>
    <t>Apply Discount nên dùng Include hay Extend trong Use Case Diagram.</t>
  </si>
  <si>
    <t>Nên áp dụng giảm giá hay chỉ áp dụng khi đặt vé?</t>
  </si>
  <si>
    <t>AI đề xuất sử dụng Include vì giảm giá là một phần của quy trình đặt vé.</t>
  </si>
  <si>
    <t>Critical Thinking:
AI chưa xem xét tính tùy chọn của mã giảm giá. Không phải mọi giao dịch đều sử dụng voucher.
Contextualization:
Trong hệ thống của tôi, người dùng có thể đặt vé mà không cần áp dụng mã giảm giá.
Creative Synthesis:
Tôi đối chiếu với UML guideline và phân tích các kịch bản sử dụng thực tế.
Decision:
Tôi quyết định dùng Extend vì Apply Discount chỉ xảy ra khi người dùng có voucher hợp lệ.</t>
  </si>
  <si>
    <t>Chưa xác định use case “Select Seat” có nên tách riêng hay gộp vào “Book Ticket”.</t>
  </si>
  <si>
    <t>“Việc chọn chỗ ngồi có nên được xem là một trường hợp sử dụng riêng biệt so với việc đặt vé không?”</t>
  </si>
  <si>
    <t>AI đề xuất tách thành use case riêng vì chọn ghế là bước tương tác độc lập và có thể tái sử dụng cho nhiều luồng đặt vé.</t>
  </si>
  <si>
    <t>Critical Thinking: AI đúng khi xem chọn ghế là hành vi độc lập, nhưng chưa xét trường hợp hệ thống chỉ có “general admission” không cần seat map.
Contextualization: Project của tôi có sơ đồ ghế theo khu vực (tier + seat), nên việc chọn ghế là bước quan trọng trước thanh toán.
Creative Synthesis: Tôi thiết kế “Select Seat” là use case riêng và cho “Book Ticket” include use case này.
Decision: Tôi quyết định tách riêng “Select Seat” để mô hình hóa rõ hành vi người dùng và dễ mở rộng cho seat reservation.</t>
  </si>
  <si>
    <t>Chưa rõ “View Ticket” có cần là use case riêng sau khi thanh toán.</t>
  </si>
  <si>
    <t>“Việc xem vé đã mua có nên được xem là một trường hợp sử dụng riêng biệt không?”</t>
  </si>
  <si>
    <t>AI đề xuất tạo use case riêng vì người dùng có thể xem vé nhiều lần sau khi mua.</t>
  </si>
  <si>
    <t>Critical Thinking: AI đúng về khả năng tái sử dụng nhưng chưa xem xét việc vé có thể chỉ được gửi qua email.
Contextualization: Hệ thống của tôi có mục “My Tickets” để người dùng xem lại QR code và trạng thái vé.
Creative Synthesis: Tôi tách “View Ticket” thành use case độc lập và liên kết với lịch sử giao dịch.
Decision: Tôi quyết định giữ “View Ticket” là use case riêng để hỗ trợ kiểm tra vé sau khi thanh toán và khi vào sân.</t>
  </si>
  <si>
    <t>Chưa xác định nên viết JUnit test cho tất cả Repository hay chỉ test Generic CSV Repository.</t>
  </si>
  <si>
    <t>"Phần CRUD trong generic CSV repository có nhiều repo khác extend nó lắm thì có nên test hết không?"</t>
  </si>
  <si>
    <t>AI giải thích rằng Generic CSV Repository chứa logic CRUD chung, do đó nên tập trung test phần generic trước, còn các repository con chỉ cần test các chức năng đặc thù.</t>
  </si>
  <si>
    <t>Critical Thinking: AI đúng ở việc tránh duplicate testing. Tuy nhiên nếu repository con override phương thức thì vẫn phải có test riêng.
Contextualization: Project của tôi có nhiều repository kế thừa GenericCSVRepository nên việc test toàn bộ CRUD cho tất cả class sẽ gây dư thừa.
Creative Synthesis: Tôi chia test thành hai nhóm:
Generic CRUD tests cho lớp cha. Specialized tests cho các repository override behavior.
Decision Ownership: Tôi quyết định chỉ test CRUD đầy đủ ở GenericCSVRepository và viết test bổ sung cho các repository có logic riêng.</t>
  </si>
  <si>
    <t>Cần xác định chiến lược kiểm thử chức năng chuyển đổi object sang định dạng CSV.</t>
  </si>
  <si>
    <t>Đối với JUnit test cho CSV serialization, tôi nên so sánh toàn bộ chuỗi CSV hay kiểm tra từng trường dữ liệu riêng biệt?</t>
  </si>
  <si>
    <t>AI đề xuất sử dụng assertEquals() để so sánh chuỗi CSV hoàn chỉnh vì đây là cách kiểm tra nhanh và trực tiếp.</t>
  </si>
  <si>
    <t>Critical Thinking:
AI đúng về tính đơn giản nhưng chưa xem xét các lỗi liên quan đến thứ tự field, delimiter và định dạng dữ liệu.
Contextualization:
CSV là cơ chế persistence chính của project, do đó lỗi serialization sẽ ảnh hưởng đến toàn bộ hệ thống.
Creative Synthesis:
Tôi kết hợp hai phương pháp:
So sánh toàn bộ chuỗi CSV.
Kiểm tra thêm các trường nhạy cảm như LocalDate, enum và delimiter.
Decision Ownership:
Tôi quyết định sử dụng full string comparison kết hợp validation các field quan trọng để đảm bảo tính chính xác của serialization.</t>
  </si>
  <si>
    <t>Cần xác định phạm vi kiểm thử khi chuyển dữ liệu CSV thành object.</t>
  </si>
  <si>
    <t>Khi kiểm thử quá trình giải tuần tự hóa CSV, những trường hợp biên nào cần được kiểm tra ngoài các đầu vào hợp lệ?</t>
  </si>
  <si>
    <t>AI đề xuất kiểm tra dữ liệu hợp lệ và một số trường hợp lỗi cơ bản như thiếu field hoặc sai định dạng.</t>
  </si>
  <si>
    <t>Critical Thinking:
AI chưa đề cập đầy đủ các lỗi liên quan đến enum parsing và malformed CSV.
Contextualization:
Trong thực tế, file CSV có thể bị thiếu dữ liệu hoặc chứa giá trị không hợp lệ.
Creative Synthesis:
Tôi mở rộng bộ test bao gồm:
Valid CSV.
Missing fields.
Invalid enum values.
Incorrect date format.
Empty records.
Decision Ownership:
Tôi quyết định xây dựng test cho cả trường hợp hợp lệ và không hợp lệ để tăng độ tin cậy của hệ thống persistence.</t>
  </si>
  <si>
    <t>Cần xác minh hiệu năng load dữ liệu lớn trong repository.</t>
  </si>
  <si>
    <t>Tôi nên thiết kế bài kiểm tra hiệu năng JUnit như thế nào để xác minh việc tải 10.000 bản ghi một cách hiệu quả, và ngưỡng nào là hợp lý?</t>
  </si>
  <si>
    <t>AI đề xuất sử dụng performance test để đo thời gian thực thi và xác định ngưỡng thời gian phù hợp.</t>
  </si>
  <si>
    <t>Critical Thinking:
AI đúng về phương pháp đo nhưng chưa xem xét sự khác biệt phần cứng giữa các môi trường chạy.
Contextualization:
Project yêu cầu xử lý tập dữ liệu lớn bằng file CSV thay vì database.
Creative Synthesis:
Tôi benchmark nhiều lần trên môi trường phát triển và chọn ngưỡng thực tế thay vì sử dụng giá trị lý thuyết.
Decision Ownership:
Tôi quyết định sử dụng performance test testLoad10000RecordsUnder500ms() với threshold 500ms để cân bằng giữa hiệu năng và tính ổn định.</t>
  </si>
  <si>
    <t>HALLUCINATION DETECTION LOG (BẮT BUỘC)</t>
  </si>
  <si>
    <t>MỖI PROJECT PHẢI PHÁT HIỆN ÍT NHẤT: Lab (≥1), Assignment (≥2), Project (≥3) cases hallucination</t>
  </si>
  <si>
    <t>Entry # (from Sheet 2)</t>
  </si>
  <si>
    <t>Hallucination Type</t>
  </si>
  <si>
    <t>AI's Claim</t>
  </si>
  <si>
    <t>Reality Check</t>
  </si>
  <si>
    <t>How Detected</t>
  </si>
  <si>
    <t>Corrective Action</t>
  </si>
  <si>
    <t>Oversimplification</t>
  </si>
  <si>
    <t>Select Seat → Apply Discount → Payment.</t>
  </si>
  <si>
    <t>Không xử lý trường hợp giữ ghế rồi thoát.</t>
  </si>
  <si>
    <t>Phân tích race condition và booking workflow.</t>
  </si>
  <si>
    <t>Thêm Reserved Seat + Timeout.</t>
  </si>
  <si>
    <t>"Việc kiểm thử GenericCSVRepository là đủ vì tất cả các kho lưu trữ con đều kế thừa cùng một logic."</t>
  </si>
  <si>
    <t>Một số repository con có:
validation riêng,
override method,
business rules khác.
Do đó không thể chỉ test lớp cha.</t>
  </si>
  <si>
    <t>Sau khi kiểm tra source code, tôi phát hiện một số repository có logic riêng không được cover.</t>
  </si>
  <si>
    <t>Tôi giữ Generic CRUD tests và bổ sung specialized tests cho các repository đặc biệt.</t>
  </si>
  <si>
    <t>Context Misunderstanding</t>
  </si>
  <si>
    <t>"A performance threshold of 500ms is acceptable for loading 10,000 records."</t>
  </si>
  <si>
    <t>Ngưỡng performance không có giá trị tuyệt đối và phụ thuộc vào:
cấu hình máy,
JVM,
kích thước file,
phương pháp benchmark.
Không thể khẳng định 500ms luôn là chuẩn chung</t>
  </si>
  <si>
    <t>Tôi benchmark trên nhiều lần chạy và nhận thấy thời gian dao động đáng kể giữa các môi trường.</t>
  </si>
  <si>
    <t>Thay vì sử dụng giá trị AI đề xuất, tôi tự benchmark trên môi trường phát triển và chọn threshold phù hợp với project.</t>
  </si>
  <si>
    <t>HALLUCINATION TYPES REFERENCE:</t>
  </si>
  <si>
    <t>Type</t>
  </si>
  <si>
    <t>Definition</t>
  </si>
  <si>
    <t>Example</t>
  </si>
  <si>
    <t>Fabrication</t>
  </si>
  <si>
    <t>AI tạo ra thông tin không tồn tại</t>
  </si>
  <si>
    <t>Fake papers, fake APIs, fake data</t>
  </si>
  <si>
    <t>AI bỏ qua edge cases, exceptions</t>
  </si>
  <si>
    <t>Code không handle array rỗng</t>
  </si>
  <si>
    <t>Logic Error</t>
  </si>
  <si>
    <t>AI đưa kết luận sai về 'best practice'</t>
  </si>
  <si>
    <t>'XGBoost always best' → Sai</t>
  </si>
  <si>
    <t>Outdated Info</t>
  </si>
  <si>
    <t>AI dùng thông tin cũ, không còn đúng</t>
  </si>
  <si>
    <t>Old API syntax, deprecated methods</t>
  </si>
  <si>
    <t>AI không hiểu đúng bối cảnh</t>
  </si>
  <si>
    <t>Không biết business constraints</t>
  </si>
  <si>
    <t>SELF-ASSESSMENT CHECKLIST (Trước khi nộp)</t>
  </si>
  <si>
    <t>Kiểm tra kỹ trước khi nộp. MỖI ENTRY phải pass ≥4/5 tiêu chí dưới đây.</t>
  </si>
  <si>
    <t>A. KIỂM TRA CHẤT LƯỢNG MỖI ENTRY (Pass ≥4/5)</t>
  </si>
  <si>
    <t>#</t>
  </si>
  <si>
    <t>Tiêu chí</t>
  </si>
  <si>
    <t>Pass?</t>
  </si>
  <si>
    <t>Note</t>
  </si>
  <si>
    <t>1</t>
  </si>
  <si>
    <t>Prompt này ảnh hưởng đến quyết định quan trọng trong project?</t>
  </si>
  <si>
    <t>☐</t>
  </si>
  <si>
    <t>2</t>
  </si>
  <si>
    <t>Nếu không có prompt này, project có thay đổi về architecture/design?</t>
  </si>
  <si>
    <t>3</t>
  </si>
  <si>
    <t>Tôi có thể giải thích lý do chọn/không chọn gợi ý của AI?</t>
  </si>
  <si>
    <t>4</t>
  </si>
  <si>
    <t>Có minh chứng cụ thể (code, metrics, comparison)?</t>
  </si>
  <si>
    <t>5</t>
  </si>
  <si>
    <t>Prompt này phản ánh tư duy phản biện, không chỉ copy AI?</t>
  </si>
  <si>
    <t>B. KIỂM TRA TỔNG THỂ LOG</t>
  </si>
  <si>
    <t>Current Value</t>
  </si>
  <si>
    <t>Số lượng entries nằm trong range (min-max)?</t>
  </si>
  <si>
    <t>Mỗi DTC component có ít nhất 1 core prompt?</t>
  </si>
  <si>
    <t>Đã phát hiện ≥ số lượng hallucination yêu cầu?</t>
  </si>
  <si>
    <t>Mỗi entry đều có Human Delta đầy đủ (4 câu hỏi)?</t>
  </si>
  <si>
    <t>Có evidence cho ≥70% entries?</t>
  </si>
  <si>
    <t>⚠️ LƯU Ý QUAN TRỌNG:</t>
  </si>
  <si>
    <t>Nếu entry KHÔNG pass ≥4/5 tiêu chí → LOẠI BỎ, không ghi vào Log</t>
  </si>
  <si>
    <t>Nếu FAIL ≥2 tiêu chí tổng thể → AI Reflection = 0 điểm (mất 30%)</t>
  </si>
  <si>
    <t>C. CHUẨN BỊ CHO ORAL VIVAS (Q&amp;A)</t>
  </si>
  <si>
    <t>Giảng viên sẽ hỏi ngẫu nhiên về 3-5 entries. Tự hỏi bản thân:</t>
  </si>
  <si>
    <t>Tôi có thể giải thích tại sao chọn approach này?</t>
  </si>
  <si>
    <t>Tôi có nhớ AI response?</t>
  </si>
  <si>
    <t>Tôi có evidence?</t>
  </si>
  <si>
    <t>001</t>
  </si>
  <si>
    <t>002</t>
  </si>
  <si>
    <t>003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</si>
</sst>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7">
    <font>
      <sz val="11"/>
      <color theme="1"/>
      <name val="Calibri"/>
      <family val="2"/>
      <scheme val="minor"/>
    </font>
    <font>
      <b/>
      <sz val="16"/>
      <color rgb="FF2E75B6"/>
      <name val="Calibri"/>
    </font>
    <font>
      <b/>
      <sz val="14"/>
      <color rgb="FF2E75B6"/>
      <name val="Calibri"/>
    </font>
    <font>
      <b/>
      <sz val="11"/>
      <name val="Calibri"/>
    </font>
    <font>
      <i/>
      <sz val="9"/>
      <color rgb="FF666666"/>
      <name val="Calibri"/>
    </font>
    <font>
      <b/>
      <sz val="11"/>
      <color rgb="FFFFFFFF"/>
      <name val="Calibri"/>
    </font>
    <font>
      <i/>
      <sz val="10"/>
      <color rgb="FF666666"/>
      <name val="Calibri"/>
    </font>
    <font>
      <b/>
      <sz val="16"/>
      <color rgb="FFFF0000"/>
      <name val="Calibri"/>
    </font>
    <font>
      <b/>
      <i/>
      <sz val="10"/>
      <color rgb="FFFF0000"/>
      <name val="Calibri"/>
    </font>
    <font>
      <sz val="10"/>
      <name val="Calibri"/>
    </font>
    <font>
      <b/>
      <sz val="12"/>
      <color rgb="FFFF0000"/>
      <name val="Calibri"/>
    </font>
    <font>
      <sz val="11"/>
      <color rgb="FFFF0000"/>
      <name val="Calibri"/>
    </font>
    <font>
      <i/>
      <sz val="10"/>
      <name val="Calibri"/>
    </font>
    <font>
      <sz val="11"/>
      <color rgb="FF242424"/>
      <name val="Aptos Narrow"/>
      <charset val="1"/>
    </font>
    <font>
      <sz val="11"/>
      <color rgb="FF0D0D0D"/>
      <name val="Cambria"/>
      <scheme val="major"/>
    </font>
    <font>
      <sz val="11"/>
      <color rgb="FF0D0D0D"/>
      <name val="-Apple-System"/>
    </font>
    <font>
      <sz val="11"/>
      <color rgb="FF252525"/>
      <name val="Calibri"/>
      <scheme val="minor"/>
    </font>
  </fonts>
  <fills count="5">
    <fill>
      <patternFill patternType="none"/>
    </fill>
    <fill>
      <patternFill patternType="gray125"/>
    </fill>
    <fill>
      <patternFill patternType="solid">
        <fgColor rgb="FFFFFF00"/>
        <bgColor rgb="FFFFFF00"/>
      </patternFill>
    </fill>
    <fill>
      <patternFill patternType="solid">
        <fgColor rgb="FF2E75B6"/>
        <bgColor rgb="FF2E75B6"/>
      </patternFill>
    </fill>
    <fill>
      <patternFill patternType="solid">
        <fgColor rgb="FFF2F2F2"/>
        <bgColor rgb="FFF2F2F2"/>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33">
    <xf numFmtId="0" fontId="0" fillId="0" borderId="0" xfId="0"/>
    <xf numFmtId="0" fontId="2" fillId="0" borderId="0" xfId="0" applyFont="1"/>
    <xf numFmtId="0" fontId="3" fillId="0" borderId="0" xfId="0" applyFont="1"/>
    <xf numFmtId="0" fontId="0" fillId="2" borderId="0" xfId="0" applyFill="1"/>
    <xf numFmtId="164" fontId="0" fillId="0" borderId="0" xfId="0" applyNumberFormat="1"/>
    <xf numFmtId="0" fontId="4" fillId="0" borderId="0" xfId="0" applyFont="1"/>
    <xf numFmtId="0" fontId="5" fillId="3" borderId="1" xfId="0" applyFont="1" applyFill="1" applyBorder="1" applyAlignment="1">
      <alignment horizontal="center" vertical="center" wrapText="1"/>
    </xf>
    <xf numFmtId="0" fontId="0" fillId="0" borderId="1" xfId="0" applyBorder="1" applyAlignment="1">
      <alignment horizontal="left" vertical="top" wrapText="1"/>
    </xf>
    <xf numFmtId="0" fontId="0" fillId="2" borderId="1" xfId="0" applyFill="1" applyBorder="1" applyAlignment="1">
      <alignment horizontal="center" vertical="center" wrapText="1"/>
    </xf>
    <xf numFmtId="0" fontId="0" fillId="0" borderId="1" xfId="0" applyBorder="1" applyAlignment="1">
      <alignment horizontal="center" vertical="center" wrapText="1"/>
    </xf>
    <xf numFmtId="0" fontId="3" fillId="4" borderId="1" xfId="0" applyFont="1" applyFill="1" applyBorder="1" applyAlignment="1">
      <alignment horizontal="left" vertical="top" wrapText="1"/>
    </xf>
    <xf numFmtId="0" fontId="5" fillId="3" borderId="1" xfId="0" applyFont="1" applyFill="1" applyBorder="1" applyAlignment="1">
      <alignment horizontal="left" vertical="top" wrapText="1"/>
    </xf>
    <xf numFmtId="0" fontId="9" fillId="0" borderId="1" xfId="0" applyFont="1" applyBorder="1" applyAlignment="1">
      <alignment horizontal="center" vertical="center" wrapText="1"/>
    </xf>
    <xf numFmtId="0" fontId="9" fillId="0" borderId="1" xfId="0" applyFont="1" applyBorder="1" applyAlignment="1">
      <alignment horizontal="left" vertical="top" wrapText="1"/>
    </xf>
    <xf numFmtId="0" fontId="10" fillId="0" borderId="0" xfId="0" applyFont="1"/>
    <xf numFmtId="0" fontId="11" fillId="0" borderId="0" xfId="0" applyFont="1"/>
    <xf numFmtId="0" fontId="12" fillId="0" borderId="0" xfId="0" applyFont="1"/>
    <xf numFmtId="0" fontId="3" fillId="4" borderId="1" xfId="0" applyFont="1" applyFill="1" applyBorder="1" applyAlignment="1">
      <alignment horizontal="center" vertical="center" wrapText="1"/>
    </xf>
    <xf numFmtId="0" fontId="0" fillId="0" borderId="0" xfId="0" applyAlignment="1">
      <alignment wrapText="1"/>
    </xf>
    <xf numFmtId="0" fontId="13" fillId="0" borderId="0" xfId="0" applyFont="1"/>
    <xf numFmtId="0" fontId="0" fillId="0" borderId="0" xfId="0" applyBorder="1"/>
    <xf numFmtId="0" fontId="0" fillId="0" borderId="0" xfId="0" applyAlignment="1">
      <alignment horizontal="left"/>
    </xf>
    <xf numFmtId="0" fontId="0" fillId="0" borderId="0" xfId="0" applyAlignment="1">
      <alignment vertical="top"/>
    </xf>
    <xf numFmtId="0" fontId="0" fillId="0" borderId="0" xfId="0" applyAlignment="1">
      <alignment vertical="top" wrapText="1"/>
    </xf>
    <xf numFmtId="0" fontId="6" fillId="0" borderId="0" xfId="0" applyFont="1" applyAlignment="1">
      <alignment horizontal="left" vertical="top" wrapText="1"/>
    </xf>
    <xf numFmtId="0" fontId="0" fillId="0" borderId="0" xfId="0" applyAlignment="1"/>
    <xf numFmtId="0" fontId="1" fillId="0" borderId="0" xfId="0" applyFont="1" applyAlignment="1">
      <alignment horizontal="center" vertical="center" wrapText="1"/>
    </xf>
    <xf numFmtId="0" fontId="8" fillId="0" borderId="0" xfId="0" applyFont="1" applyAlignment="1">
      <alignment horizontal="center" vertical="center" wrapText="1"/>
    </xf>
    <xf numFmtId="0" fontId="7" fillId="0" borderId="0" xfId="0" applyFont="1" applyAlignment="1">
      <alignment horizontal="center" vertical="center" wrapText="1"/>
    </xf>
    <xf numFmtId="0" fontId="6" fillId="0" borderId="0" xfId="0" applyFont="1" applyAlignment="1">
      <alignment horizontal="center" vertical="center" wrapText="1"/>
    </xf>
    <xf numFmtId="0" fontId="14" fillId="0" borderId="0" xfId="0" applyFont="1" applyAlignment="1">
      <alignment vertical="top" wrapText="1"/>
    </xf>
    <xf numFmtId="0" fontId="15" fillId="0" borderId="0" xfId="0" applyFont="1" applyAlignment="1">
      <alignment vertical="top" wrapText="1"/>
    </xf>
    <xf numFmtId="0" fontId="16" fillId="0" borderId="0" xfId="0" applyFont="1" applyAlignment="1">
      <alignment vertical="top" wrapText="1"/>
    </xf>
  </cellXfs>
  <cellStyles count="1">
    <cellStyle name="Normal" xfId="0" builtinId="0"/>
  </cellStyles>
  <dxfs count="0"/>
  <tableStyles count="0" defaultTableStyle="TableStyleMedium9" defaultPivotStyle="PivotStyleLight16"/>
  <colors>
    <mruColors>
      <color rgb="FF4273B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31"/>
  <sheetViews>
    <sheetView topLeftCell="A9" workbookViewId="0">
      <selection activeCell="B25" sqref="B25"/>
    </sheetView>
  </sheetViews>
  <sheetFormatPr defaultRowHeight="15"/>
  <cols>
    <col min="1" max="1" width="25" customWidth="1"/>
    <col min="2" max="2" width="40" customWidth="1"/>
    <col min="3" max="3" width="18.85546875" customWidth="1"/>
    <col min="4" max="4" width="30" customWidth="1"/>
    <col min="5" max="5" width="31.85546875" customWidth="1"/>
    <col min="6" max="6" width="20" customWidth="1"/>
    <col min="7" max="7" width="32.42578125" customWidth="1"/>
  </cols>
  <sheetData>
    <row r="1" spans="1:6">
      <c r="A1" s="26" t="s">
        <v>0</v>
      </c>
      <c r="B1" s="25"/>
      <c r="C1" s="25"/>
      <c r="D1" s="25"/>
      <c r="E1" s="25"/>
      <c r="F1" s="25"/>
    </row>
    <row r="3" spans="1:6">
      <c r="A3" s="1" t="s">
        <v>1</v>
      </c>
    </row>
    <row r="4" spans="1:6">
      <c r="A4" s="2" t="s">
        <v>2</v>
      </c>
      <c r="C4" s="21" t="s">
        <v>3</v>
      </c>
    </row>
    <row r="5" spans="1:6">
      <c r="A5" s="2" t="s">
        <v>4</v>
      </c>
      <c r="C5" s="21" t="s">
        <v>5</v>
      </c>
    </row>
    <row r="6" spans="1:6">
      <c r="A6" s="2" t="s">
        <v>6</v>
      </c>
      <c r="C6" s="21" t="s">
        <v>7</v>
      </c>
    </row>
    <row r="7" spans="1:6" ht="30.75">
      <c r="A7" s="2" t="s">
        <v>8</v>
      </c>
      <c r="C7" s="18" t="s">
        <v>9</v>
      </c>
      <c r="D7" s="19"/>
    </row>
    <row r="9" spans="1:6">
      <c r="A9" s="1" t="s">
        <v>10</v>
      </c>
    </row>
    <row r="10" spans="1:6">
      <c r="A10" s="2" t="s">
        <v>11</v>
      </c>
      <c r="C10" t="s">
        <v>12</v>
      </c>
      <c r="D10">
        <v>1</v>
      </c>
    </row>
    <row r="11" spans="1:6">
      <c r="A11" s="2" t="s">
        <v>13</v>
      </c>
      <c r="C11" s="3" t="s">
        <v>14</v>
      </c>
      <c r="D11">
        <v>1</v>
      </c>
    </row>
    <row r="12" spans="1:6">
      <c r="A12" s="2" t="s">
        <v>15</v>
      </c>
      <c r="C12" s="4" t="e">
        <f>C11/C10</f>
        <v>#VALUE!</v>
      </c>
      <c r="E12" s="5" t="s">
        <v>16</v>
      </c>
    </row>
    <row r="13" spans="1:6">
      <c r="A13" s="2" t="s">
        <v>17</v>
      </c>
      <c r="C13" s="3" t="s">
        <v>18</v>
      </c>
    </row>
    <row r="15" spans="1:6">
      <c r="A15" s="1" t="s">
        <v>19</v>
      </c>
    </row>
    <row r="16" spans="1:6">
      <c r="A16" s="6" t="s">
        <v>20</v>
      </c>
      <c r="B16" s="6" t="s">
        <v>21</v>
      </c>
      <c r="C16" s="6" t="s">
        <v>22</v>
      </c>
      <c r="D16" s="6" t="s">
        <v>23</v>
      </c>
    </row>
    <row r="17" spans="1:7">
      <c r="A17" s="7" t="s">
        <v>24</v>
      </c>
      <c r="B17" s="7" t="s">
        <v>25</v>
      </c>
      <c r="C17" s="7" t="s">
        <v>26</v>
      </c>
      <c r="D17" s="7" t="s">
        <v>27</v>
      </c>
    </row>
    <row r="18" spans="1:7">
      <c r="A18" s="7" t="s">
        <v>28</v>
      </c>
      <c r="B18" s="7" t="s">
        <v>29</v>
      </c>
      <c r="C18" s="7" t="s">
        <v>30</v>
      </c>
      <c r="D18" s="7" t="s">
        <v>31</v>
      </c>
    </row>
    <row r="19" spans="1:7">
      <c r="A19" s="7" t="s">
        <v>32</v>
      </c>
      <c r="B19" s="7" t="s">
        <v>33</v>
      </c>
      <c r="C19" s="7" t="s">
        <v>26</v>
      </c>
      <c r="D19" s="7" t="s">
        <v>34</v>
      </c>
    </row>
    <row r="20" spans="1:7">
      <c r="A20" s="7" t="s">
        <v>35</v>
      </c>
      <c r="B20" s="7"/>
      <c r="C20" s="7"/>
      <c r="D20" s="7"/>
    </row>
    <row r="22" spans="1:7">
      <c r="A22" s="1" t="s">
        <v>36</v>
      </c>
    </row>
    <row r="23" spans="1:7">
      <c r="A23" s="6" t="s">
        <v>37</v>
      </c>
      <c r="B23" s="6" t="s">
        <v>38</v>
      </c>
      <c r="C23" s="6" t="s">
        <v>39</v>
      </c>
    </row>
    <row r="24" spans="1:7">
      <c r="A24" s="7" t="s">
        <v>40</v>
      </c>
      <c r="B24" s="8">
        <v>1</v>
      </c>
      <c r="C24" s="9" t="s">
        <v>41</v>
      </c>
    </row>
    <row r="25" spans="1:7">
      <c r="A25" s="7" t="s">
        <v>42</v>
      </c>
      <c r="B25" s="8">
        <v>0</v>
      </c>
      <c r="C25" s="9" t="s">
        <v>41</v>
      </c>
    </row>
    <row r="26" spans="1:7">
      <c r="A26" s="7" t="s">
        <v>43</v>
      </c>
      <c r="B26" s="8">
        <v>0</v>
      </c>
      <c r="C26" s="9" t="s">
        <v>41</v>
      </c>
    </row>
    <row r="27" spans="1:7">
      <c r="A27" s="7" t="s">
        <v>44</v>
      </c>
      <c r="B27" s="8">
        <v>0</v>
      </c>
      <c r="C27" s="9" t="s">
        <v>41</v>
      </c>
    </row>
    <row r="30" spans="1:7">
      <c r="A30" s="20"/>
      <c r="B30" s="20"/>
      <c r="C30" s="20"/>
      <c r="D30" s="20"/>
      <c r="E30" s="20"/>
      <c r="F30" s="20"/>
      <c r="G30" s="20"/>
    </row>
    <row r="31" spans="1:7">
      <c r="A31" s="20"/>
      <c r="B31" s="20"/>
      <c r="C31" s="20"/>
      <c r="D31" s="20"/>
      <c r="E31" s="20"/>
      <c r="F31" s="20"/>
      <c r="G31" s="20"/>
    </row>
  </sheetData>
  <mergeCells count="1">
    <mergeCell ref="A1:F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6"/>
  <sheetViews>
    <sheetView topLeftCell="A9" workbookViewId="0">
      <selection activeCell="B10" sqref="B10"/>
    </sheetView>
  </sheetViews>
  <sheetFormatPr defaultRowHeight="15"/>
  <cols>
    <col min="1" max="1" width="8" customWidth="1"/>
    <col min="2" max="3" width="18" customWidth="1"/>
    <col min="4" max="4" width="25" customWidth="1"/>
    <col min="5" max="5" width="30" customWidth="1"/>
    <col min="6" max="6" width="35" customWidth="1"/>
    <col min="7" max="7" width="58.42578125" customWidth="1"/>
    <col min="8" max="8" width="20" customWidth="1"/>
  </cols>
  <sheetData>
    <row r="1" spans="1:8">
      <c r="A1" s="26" t="s">
        <v>45</v>
      </c>
      <c r="B1" s="25"/>
      <c r="C1" s="25"/>
      <c r="D1" s="25"/>
      <c r="E1" s="25"/>
      <c r="F1" s="25"/>
      <c r="G1" s="25"/>
      <c r="H1" s="25"/>
    </row>
    <row r="2" spans="1:8" ht="30" customHeight="1">
      <c r="A2" s="24" t="s">
        <v>46</v>
      </c>
      <c r="B2" s="25"/>
      <c r="C2" s="25"/>
      <c r="D2" s="25"/>
      <c r="E2" s="25"/>
      <c r="F2" s="25"/>
      <c r="G2" s="25"/>
      <c r="H2" s="25"/>
    </row>
    <row r="3" spans="1:8" ht="39.950000000000003" customHeight="1">
      <c r="A3" s="6" t="s">
        <v>47</v>
      </c>
      <c r="B3" s="6" t="s">
        <v>48</v>
      </c>
      <c r="C3" s="6" t="s">
        <v>49</v>
      </c>
      <c r="D3" s="6" t="s">
        <v>50</v>
      </c>
      <c r="E3" s="6" t="s">
        <v>51</v>
      </c>
      <c r="F3" s="6" t="s">
        <v>52</v>
      </c>
      <c r="G3" s="6" t="s">
        <v>53</v>
      </c>
      <c r="H3" s="6" t="s">
        <v>54</v>
      </c>
    </row>
    <row r="4" spans="1:8" ht="151.5" customHeight="1">
      <c r="A4" s="7">
        <v>1</v>
      </c>
      <c r="B4" s="7" t="s">
        <v>55</v>
      </c>
      <c r="C4" s="7" t="s">
        <v>40</v>
      </c>
      <c r="D4" s="7" t="s">
        <v>56</v>
      </c>
      <c r="E4" s="7" t="s">
        <v>57</v>
      </c>
      <c r="F4" s="7" t="s">
        <v>58</v>
      </c>
      <c r="G4" s="7" t="s">
        <v>59</v>
      </c>
      <c r="H4" s="7" t="s">
        <v>60</v>
      </c>
    </row>
    <row r="5" spans="1:8" ht="249" customHeight="1">
      <c r="A5" s="7">
        <v>2</v>
      </c>
      <c r="B5" s="7" t="s">
        <v>55</v>
      </c>
      <c r="C5" s="7" t="s">
        <v>42</v>
      </c>
      <c r="D5" s="7" t="s">
        <v>61</v>
      </c>
      <c r="E5" s="7" t="s">
        <v>62</v>
      </c>
      <c r="F5" s="7" t="s">
        <v>63</v>
      </c>
      <c r="G5" s="7" t="s">
        <v>64</v>
      </c>
      <c r="H5" s="7" t="s">
        <v>65</v>
      </c>
    </row>
    <row r="6" spans="1:8" ht="147.75" customHeight="1">
      <c r="A6" s="7">
        <v>3</v>
      </c>
      <c r="B6" s="7" t="s">
        <v>55</v>
      </c>
      <c r="C6" s="7" t="s">
        <v>40</v>
      </c>
      <c r="D6" s="7" t="s">
        <v>66</v>
      </c>
      <c r="E6" s="7" t="s">
        <v>67</v>
      </c>
      <c r="F6" s="7" t="s">
        <v>68</v>
      </c>
      <c r="G6" s="7" t="s">
        <v>69</v>
      </c>
      <c r="H6" s="7" t="s">
        <v>70</v>
      </c>
    </row>
    <row r="7" spans="1:8" ht="80.099999999999994" customHeight="1">
      <c r="A7" s="7">
        <v>4</v>
      </c>
      <c r="B7" s="7" t="s">
        <v>71</v>
      </c>
      <c r="C7" s="7" t="s">
        <v>43</v>
      </c>
      <c r="D7" s="7" t="s">
        <v>72</v>
      </c>
      <c r="E7" s="18" t="s">
        <v>73</v>
      </c>
      <c r="F7" s="7" t="s">
        <v>74</v>
      </c>
      <c r="G7" s="7" t="s">
        <v>75</v>
      </c>
      <c r="H7" s="7"/>
    </row>
    <row r="8" spans="1:8" ht="80.099999999999994" customHeight="1">
      <c r="A8" s="7">
        <v>5</v>
      </c>
      <c r="B8" s="7" t="s">
        <v>55</v>
      </c>
      <c r="C8" s="7" t="s">
        <v>42</v>
      </c>
      <c r="D8" s="7" t="s">
        <v>76</v>
      </c>
      <c r="E8" s="7" t="s">
        <v>77</v>
      </c>
      <c r="F8" s="7" t="s">
        <v>78</v>
      </c>
      <c r="G8" s="7" t="s">
        <v>79</v>
      </c>
      <c r="H8" s="7"/>
    </row>
    <row r="9" spans="1:8" ht="80.099999999999994" customHeight="1">
      <c r="A9" s="7">
        <v>6</v>
      </c>
      <c r="B9" s="7" t="s">
        <v>55</v>
      </c>
      <c r="C9" s="7" t="s">
        <v>40</v>
      </c>
      <c r="D9" s="7" t="s">
        <v>80</v>
      </c>
      <c r="E9" s="7" t="s">
        <v>81</v>
      </c>
      <c r="F9" s="7" t="s">
        <v>82</v>
      </c>
      <c r="G9" s="7" t="s">
        <v>83</v>
      </c>
      <c r="H9" s="7"/>
    </row>
    <row r="10" spans="1:8" ht="149.25" customHeight="1">
      <c r="A10" s="7">
        <v>7</v>
      </c>
      <c r="B10" s="22" t="s">
        <v>55</v>
      </c>
      <c r="C10" s="7"/>
      <c r="D10" s="23" t="s">
        <v>84</v>
      </c>
      <c r="E10" s="23" t="s">
        <v>85</v>
      </c>
      <c r="F10" s="23" t="s">
        <v>86</v>
      </c>
      <c r="G10" s="7" t="s">
        <v>87</v>
      </c>
      <c r="H10" s="7"/>
    </row>
    <row r="11" spans="1:8" ht="80.099999999999994" customHeight="1">
      <c r="A11" s="7">
        <v>8</v>
      </c>
      <c r="B11" s="22" t="s">
        <v>55</v>
      </c>
      <c r="C11" s="22" t="s">
        <v>43</v>
      </c>
      <c r="D11" s="23" t="s">
        <v>88</v>
      </c>
      <c r="E11" s="30" t="s">
        <v>89</v>
      </c>
      <c r="F11" s="7" t="s">
        <v>90</v>
      </c>
      <c r="G11" s="7" t="s">
        <v>91</v>
      </c>
      <c r="H11" s="7"/>
    </row>
    <row r="12" spans="1:8" ht="80.099999999999994" customHeight="1">
      <c r="A12" s="7">
        <v>9</v>
      </c>
      <c r="B12" s="22" t="s">
        <v>55</v>
      </c>
      <c r="C12" s="22" t="s">
        <v>43</v>
      </c>
      <c r="D12" s="23" t="s">
        <v>92</v>
      </c>
      <c r="E12" s="31" t="s">
        <v>93</v>
      </c>
      <c r="F12" s="23" t="s">
        <v>94</v>
      </c>
      <c r="G12" s="7" t="s">
        <v>95</v>
      </c>
      <c r="H12" s="7"/>
    </row>
    <row r="13" spans="1:8" ht="80.099999999999994" customHeight="1">
      <c r="A13" s="7">
        <v>10</v>
      </c>
      <c r="B13" s="22" t="s">
        <v>71</v>
      </c>
      <c r="C13" s="22" t="s">
        <v>44</v>
      </c>
      <c r="D13" s="23" t="s">
        <v>96</v>
      </c>
      <c r="E13" s="31" t="s">
        <v>97</v>
      </c>
      <c r="F13" s="23" t="s">
        <v>98</v>
      </c>
      <c r="G13" s="7" t="s">
        <v>99</v>
      </c>
      <c r="H13" s="7"/>
    </row>
    <row r="14" spans="1:8" ht="80.099999999999994" customHeight="1">
      <c r="A14" s="7"/>
      <c r="B14" s="7"/>
      <c r="C14" s="7"/>
      <c r="D14" s="7"/>
      <c r="E14" s="7"/>
      <c r="F14" s="7"/>
      <c r="G14" s="7"/>
      <c r="H14" s="7"/>
    </row>
    <row r="15" spans="1:8" ht="80.099999999999994" customHeight="1">
      <c r="A15" s="7"/>
      <c r="B15" s="7"/>
      <c r="C15" s="7"/>
      <c r="D15" s="7"/>
      <c r="E15" s="7"/>
      <c r="F15" s="7"/>
      <c r="G15" s="7"/>
      <c r="H15" s="7"/>
    </row>
    <row r="16" spans="1:8" ht="80.099999999999994" customHeight="1">
      <c r="A16" s="7"/>
      <c r="B16" s="7"/>
      <c r="C16" s="7"/>
      <c r="D16" s="7"/>
      <c r="E16" s="7"/>
      <c r="F16" s="7"/>
      <c r="G16" s="7"/>
      <c r="H16" s="7"/>
    </row>
    <row r="17" spans="1:8" ht="80.099999999999994" customHeight="1">
      <c r="A17" s="7"/>
      <c r="B17" s="7"/>
      <c r="C17" s="7"/>
      <c r="D17" s="7"/>
      <c r="E17" s="7"/>
      <c r="F17" s="7"/>
      <c r="G17" s="7"/>
      <c r="H17" s="7"/>
    </row>
    <row r="18" spans="1:8" ht="80.099999999999994" customHeight="1">
      <c r="A18" s="7"/>
      <c r="B18" s="7"/>
      <c r="C18" s="7"/>
      <c r="D18" s="7"/>
      <c r="E18" s="7"/>
      <c r="F18" s="7"/>
      <c r="G18" s="7"/>
      <c r="H18" s="7"/>
    </row>
    <row r="19" spans="1:8" ht="80.099999999999994" customHeight="1">
      <c r="A19" s="7"/>
      <c r="B19" s="7"/>
      <c r="C19" s="7"/>
      <c r="D19" s="7"/>
      <c r="E19" s="7"/>
      <c r="F19" s="7"/>
      <c r="G19" s="7"/>
      <c r="H19" s="7"/>
    </row>
    <row r="20" spans="1:8" ht="80.099999999999994" customHeight="1">
      <c r="A20" s="7"/>
      <c r="B20" s="7"/>
      <c r="C20" s="7"/>
      <c r="D20" s="7"/>
      <c r="E20" s="7"/>
      <c r="F20" s="7"/>
      <c r="G20" s="7"/>
      <c r="H20" s="7"/>
    </row>
    <row r="21" spans="1:8" ht="80.099999999999994" customHeight="1">
      <c r="A21" s="7"/>
      <c r="B21" s="7"/>
      <c r="C21" s="7"/>
      <c r="D21" s="7"/>
      <c r="E21" s="7"/>
      <c r="F21" s="7"/>
      <c r="G21" s="7"/>
      <c r="H21" s="7"/>
    </row>
    <row r="22" spans="1:8" ht="80.099999999999994" customHeight="1">
      <c r="A22" s="7"/>
      <c r="B22" s="7"/>
      <c r="C22" s="7"/>
      <c r="D22" s="7"/>
      <c r="E22" s="7"/>
      <c r="F22" s="7"/>
      <c r="G22" s="7"/>
      <c r="H22" s="7"/>
    </row>
    <row r="23" spans="1:8" ht="80.099999999999994" customHeight="1">
      <c r="A23" s="7"/>
      <c r="B23" s="7"/>
      <c r="C23" s="7"/>
      <c r="D23" s="7"/>
      <c r="E23" s="7"/>
      <c r="F23" s="7"/>
      <c r="G23" s="7"/>
      <c r="H23" s="7"/>
    </row>
    <row r="24" spans="1:8" ht="80.099999999999994" customHeight="1">
      <c r="A24" s="7"/>
      <c r="B24" s="7"/>
      <c r="C24" s="7"/>
      <c r="D24" s="7"/>
      <c r="E24" s="7"/>
      <c r="F24" s="7"/>
      <c r="G24" s="7"/>
      <c r="H24" s="7"/>
    </row>
    <row r="25" spans="1:8" ht="80.099999999999994" customHeight="1">
      <c r="A25" s="7"/>
      <c r="B25" s="7"/>
      <c r="C25" s="7"/>
      <c r="D25" s="7"/>
      <c r="E25" s="7"/>
      <c r="F25" s="7"/>
      <c r="G25" s="7"/>
      <c r="H25" s="7"/>
    </row>
    <row r="26" spans="1:8" ht="80.099999999999994" customHeight="1">
      <c r="A26" s="7"/>
      <c r="B26" s="7"/>
      <c r="C26" s="7"/>
      <c r="D26" s="7"/>
      <c r="E26" s="7"/>
      <c r="F26" s="7"/>
      <c r="G26" s="7"/>
      <c r="H26" s="7"/>
    </row>
  </sheetData>
  <mergeCells count="2">
    <mergeCell ref="A2:H2"/>
    <mergeCell ref="A1:H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36"/>
  <sheetViews>
    <sheetView tabSelected="1" workbookViewId="0">
      <selection activeCell="H6" sqref="H6"/>
    </sheetView>
  </sheetViews>
  <sheetFormatPr defaultRowHeight="15"/>
  <cols>
    <col min="1" max="1" width="12" customWidth="1"/>
    <col min="2" max="2" width="22" customWidth="1"/>
    <col min="3" max="6" width="30" customWidth="1"/>
  </cols>
  <sheetData>
    <row r="1" spans="1:6">
      <c r="A1" s="28" t="s">
        <v>100</v>
      </c>
      <c r="B1" s="25"/>
      <c r="C1" s="25"/>
      <c r="D1" s="25"/>
      <c r="E1" s="25"/>
      <c r="F1" s="25"/>
    </row>
    <row r="2" spans="1:6">
      <c r="A2" s="27" t="s">
        <v>101</v>
      </c>
      <c r="B2" s="25"/>
      <c r="C2" s="25"/>
      <c r="D2" s="25"/>
      <c r="E2" s="25"/>
      <c r="F2" s="25"/>
    </row>
    <row r="3" spans="1:6" ht="39.950000000000003" customHeight="1">
      <c r="A3" s="6" t="s">
        <v>102</v>
      </c>
      <c r="B3" s="6" t="s">
        <v>103</v>
      </c>
      <c r="C3" s="6" t="s">
        <v>104</v>
      </c>
      <c r="D3" s="6" t="s">
        <v>105</v>
      </c>
      <c r="E3" s="6" t="s">
        <v>106</v>
      </c>
      <c r="F3" s="6" t="s">
        <v>107</v>
      </c>
    </row>
    <row r="4" spans="1:6" ht="60" customHeight="1">
      <c r="A4" s="7">
        <v>2</v>
      </c>
      <c r="B4" s="7" t="s">
        <v>108</v>
      </c>
      <c r="C4" s="7" t="s">
        <v>109</v>
      </c>
      <c r="D4" s="7" t="s">
        <v>110</v>
      </c>
      <c r="E4" s="7" t="s">
        <v>111</v>
      </c>
      <c r="F4" s="7" t="s">
        <v>112</v>
      </c>
    </row>
    <row r="5" spans="1:6" ht="90.75" customHeight="1">
      <c r="A5" s="7">
        <v>7</v>
      </c>
      <c r="B5" s="22" t="s">
        <v>108</v>
      </c>
      <c r="C5" s="32" t="s">
        <v>113</v>
      </c>
      <c r="D5" s="7" t="s">
        <v>114</v>
      </c>
      <c r="E5" s="23" t="s">
        <v>115</v>
      </c>
      <c r="F5" s="23" t="s">
        <v>116</v>
      </c>
    </row>
    <row r="6" spans="1:6" ht="122.25" customHeight="1">
      <c r="A6" s="7">
        <v>10</v>
      </c>
      <c r="B6" s="23" t="s">
        <v>117</v>
      </c>
      <c r="C6" s="23" t="s">
        <v>118</v>
      </c>
      <c r="D6" s="7" t="s">
        <v>119</v>
      </c>
      <c r="E6" s="23" t="s">
        <v>120</v>
      </c>
      <c r="F6" s="23" t="s">
        <v>121</v>
      </c>
    </row>
    <row r="7" spans="1:6" ht="60" customHeight="1">
      <c r="A7" s="19" t="s">
        <v>35</v>
      </c>
      <c r="B7" s="7"/>
      <c r="C7" s="7"/>
      <c r="D7" s="7"/>
      <c r="E7" s="7"/>
      <c r="F7" s="7"/>
    </row>
    <row r="8" spans="1:6" ht="60" customHeight="1">
      <c r="A8" s="7"/>
      <c r="B8" s="7"/>
      <c r="C8" s="7"/>
      <c r="D8" s="7"/>
      <c r="E8" s="7"/>
      <c r="F8" s="7"/>
    </row>
    <row r="9" spans="1:6" ht="60" customHeight="1">
      <c r="A9" s="7"/>
      <c r="B9" s="7"/>
      <c r="C9" s="7"/>
      <c r="D9" s="7"/>
      <c r="E9" s="7"/>
      <c r="F9" s="7"/>
    </row>
    <row r="10" spans="1:6" ht="60" customHeight="1">
      <c r="A10" s="7"/>
      <c r="B10" s="7"/>
      <c r="C10" s="7"/>
      <c r="D10" s="7"/>
      <c r="E10" s="7"/>
      <c r="F10" s="7"/>
    </row>
    <row r="11" spans="1:6" ht="60" customHeight="1">
      <c r="A11" s="7"/>
      <c r="B11" s="7"/>
      <c r="C11" s="7"/>
      <c r="D11" s="7"/>
      <c r="E11" s="7"/>
      <c r="F11" s="7"/>
    </row>
    <row r="12" spans="1:6" ht="60" customHeight="1">
      <c r="A12" s="7"/>
      <c r="B12" s="7"/>
      <c r="C12" s="7"/>
      <c r="D12" s="7"/>
      <c r="E12" s="7"/>
      <c r="F12" s="7"/>
    </row>
    <row r="13" spans="1:6" ht="60" customHeight="1">
      <c r="A13" s="7"/>
      <c r="B13" s="7"/>
      <c r="C13" s="7"/>
      <c r="D13" s="7"/>
      <c r="E13" s="7"/>
      <c r="F13" s="7"/>
    </row>
    <row r="14" spans="1:6" ht="60" customHeight="1">
      <c r="A14" s="7"/>
      <c r="B14" s="7"/>
      <c r="C14" s="7"/>
      <c r="D14" s="7"/>
      <c r="E14" s="7"/>
      <c r="F14" s="7"/>
    </row>
    <row r="15" spans="1:6" ht="60" customHeight="1">
      <c r="A15" s="7"/>
      <c r="B15" s="7"/>
      <c r="C15" s="7"/>
      <c r="D15" s="7"/>
      <c r="E15" s="7"/>
      <c r="F15" s="7"/>
    </row>
    <row r="16" spans="1:6" ht="60" customHeight="1">
      <c r="A16" s="7"/>
      <c r="B16" s="7"/>
      <c r="C16" s="7"/>
      <c r="D16" s="7"/>
      <c r="E16" s="7"/>
      <c r="F16" s="7"/>
    </row>
    <row r="17" spans="1:6" ht="60" customHeight="1">
      <c r="A17" s="7"/>
      <c r="B17" s="7"/>
      <c r="C17" s="7"/>
      <c r="D17" s="7"/>
      <c r="E17" s="7"/>
      <c r="F17" s="7"/>
    </row>
    <row r="18" spans="1:6" ht="60" customHeight="1">
      <c r="A18" s="7"/>
      <c r="B18" s="7"/>
      <c r="C18" s="7"/>
      <c r="D18" s="7"/>
      <c r="E18" s="7"/>
      <c r="F18" s="7"/>
    </row>
    <row r="19" spans="1:6" ht="60" customHeight="1">
      <c r="A19" s="7"/>
      <c r="B19" s="7"/>
      <c r="C19" s="7"/>
      <c r="D19" s="7"/>
      <c r="E19" s="7"/>
      <c r="F19" s="7"/>
    </row>
    <row r="20" spans="1:6" ht="60" customHeight="1">
      <c r="A20" s="7"/>
      <c r="B20" s="7"/>
      <c r="C20" s="7"/>
      <c r="D20" s="7"/>
      <c r="E20" s="7"/>
      <c r="F20" s="7"/>
    </row>
    <row r="21" spans="1:6" ht="60" customHeight="1">
      <c r="A21" s="7"/>
      <c r="B21" s="7"/>
      <c r="C21" s="7"/>
      <c r="D21" s="7"/>
      <c r="E21" s="7"/>
      <c r="F21" s="7"/>
    </row>
    <row r="22" spans="1:6" ht="60" customHeight="1">
      <c r="A22" s="7"/>
      <c r="B22" s="7"/>
      <c r="C22" s="7"/>
      <c r="D22" s="7"/>
      <c r="E22" s="7"/>
      <c r="F22" s="7"/>
    </row>
    <row r="23" spans="1:6" ht="60" customHeight="1">
      <c r="A23" s="7"/>
      <c r="B23" s="7"/>
      <c r="C23" s="7"/>
      <c r="D23" s="7"/>
      <c r="E23" s="7"/>
      <c r="F23" s="7"/>
    </row>
    <row r="24" spans="1:6" ht="60" customHeight="1">
      <c r="A24" s="7"/>
      <c r="B24" s="7"/>
      <c r="C24" s="7"/>
      <c r="D24" s="7"/>
      <c r="E24" s="7"/>
      <c r="F24" s="7"/>
    </row>
    <row r="30" spans="1:6">
      <c r="A30" s="1" t="s">
        <v>122</v>
      </c>
    </row>
    <row r="31" spans="1:6">
      <c r="A31" s="10" t="s">
        <v>123</v>
      </c>
      <c r="B31" s="10" t="s">
        <v>124</v>
      </c>
      <c r="C31" s="10" t="s">
        <v>125</v>
      </c>
    </row>
    <row r="32" spans="1:6">
      <c r="A32" s="7" t="s">
        <v>126</v>
      </c>
      <c r="B32" s="7" t="s">
        <v>127</v>
      </c>
      <c r="C32" s="7" t="s">
        <v>128</v>
      </c>
    </row>
    <row r="33" spans="1:3">
      <c r="A33" s="7" t="s">
        <v>108</v>
      </c>
      <c r="B33" s="7" t="s">
        <v>129</v>
      </c>
      <c r="C33" s="7" t="s">
        <v>130</v>
      </c>
    </row>
    <row r="34" spans="1:3">
      <c r="A34" s="7" t="s">
        <v>131</v>
      </c>
      <c r="B34" s="7" t="s">
        <v>132</v>
      </c>
      <c r="C34" s="7" t="s">
        <v>133</v>
      </c>
    </row>
    <row r="35" spans="1:3">
      <c r="A35" s="7" t="s">
        <v>134</v>
      </c>
      <c r="B35" s="7" t="s">
        <v>135</v>
      </c>
      <c r="C35" s="7" t="s">
        <v>136</v>
      </c>
    </row>
    <row r="36" spans="1:3">
      <c r="A36" s="7" t="s">
        <v>117</v>
      </c>
      <c r="B36" s="7" t="s">
        <v>137</v>
      </c>
      <c r="C36" s="7" t="s">
        <v>138</v>
      </c>
    </row>
  </sheetData>
  <mergeCells count="2">
    <mergeCell ref="A2:F2"/>
    <mergeCell ref="A1:F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30"/>
  <sheetViews>
    <sheetView workbookViewId="0">
      <selection activeCell="B14" sqref="B14"/>
    </sheetView>
  </sheetViews>
  <sheetFormatPr defaultRowHeight="15"/>
  <cols>
    <col min="1" max="1" width="8" customWidth="1"/>
    <col min="2" max="2" width="60" customWidth="1"/>
    <col min="3" max="3" width="10" customWidth="1"/>
    <col min="4" max="4" width="30" customWidth="1"/>
  </cols>
  <sheetData>
    <row r="1" spans="1:4">
      <c r="A1" s="26" t="s">
        <v>139</v>
      </c>
      <c r="B1" s="25"/>
      <c r="C1" s="25"/>
      <c r="D1" s="25"/>
    </row>
    <row r="2" spans="1:4">
      <c r="A2" s="29" t="s">
        <v>140</v>
      </c>
      <c r="B2" s="25"/>
      <c r="C2" s="25"/>
      <c r="D2" s="25"/>
    </row>
    <row r="4" spans="1:4">
      <c r="A4" s="1" t="s">
        <v>141</v>
      </c>
    </row>
    <row r="5" spans="1:4">
      <c r="A5" s="6" t="s">
        <v>142</v>
      </c>
      <c r="B5" s="11" t="s">
        <v>143</v>
      </c>
      <c r="C5" s="6" t="s">
        <v>144</v>
      </c>
      <c r="D5" s="11" t="s">
        <v>145</v>
      </c>
    </row>
    <row r="6" spans="1:4">
      <c r="A6" s="12" t="s">
        <v>146</v>
      </c>
      <c r="B6" s="13" t="s">
        <v>147</v>
      </c>
      <c r="C6" s="12" t="s">
        <v>148</v>
      </c>
      <c r="D6" s="13"/>
    </row>
    <row r="7" spans="1:4">
      <c r="A7" s="12" t="s">
        <v>149</v>
      </c>
      <c r="B7" s="13" t="s">
        <v>150</v>
      </c>
      <c r="C7" s="12" t="s">
        <v>148</v>
      </c>
      <c r="D7" s="13"/>
    </row>
    <row r="8" spans="1:4">
      <c r="A8" s="12" t="s">
        <v>151</v>
      </c>
      <c r="B8" s="13" t="s">
        <v>152</v>
      </c>
      <c r="C8" s="12" t="s">
        <v>148</v>
      </c>
      <c r="D8" s="13"/>
    </row>
    <row r="9" spans="1:4">
      <c r="A9" s="12" t="s">
        <v>153</v>
      </c>
      <c r="B9" s="13" t="s">
        <v>154</v>
      </c>
      <c r="C9" s="12" t="s">
        <v>148</v>
      </c>
      <c r="D9" s="13"/>
    </row>
    <row r="10" spans="1:4">
      <c r="A10" s="12" t="s">
        <v>155</v>
      </c>
      <c r="B10" s="13" t="s">
        <v>156</v>
      </c>
      <c r="C10" s="12" t="s">
        <v>148</v>
      </c>
      <c r="D10" s="13"/>
    </row>
    <row r="12" spans="1:4">
      <c r="A12" s="1" t="s">
        <v>157</v>
      </c>
    </row>
    <row r="13" spans="1:4">
      <c r="A13" s="6" t="s">
        <v>142</v>
      </c>
      <c r="B13" s="11" t="s">
        <v>143</v>
      </c>
      <c r="C13" s="6" t="s">
        <v>144</v>
      </c>
      <c r="D13" s="11" t="s">
        <v>158</v>
      </c>
    </row>
    <row r="14" spans="1:4">
      <c r="A14" s="12" t="s">
        <v>146</v>
      </c>
      <c r="B14" s="13" t="s">
        <v>159</v>
      </c>
      <c r="C14" s="12" t="s">
        <v>148</v>
      </c>
      <c r="D14" s="13"/>
    </row>
    <row r="15" spans="1:4">
      <c r="A15" s="12" t="s">
        <v>149</v>
      </c>
      <c r="B15" s="13" t="s">
        <v>160</v>
      </c>
      <c r="C15" s="12" t="s">
        <v>148</v>
      </c>
      <c r="D15" s="13"/>
    </row>
    <row r="16" spans="1:4">
      <c r="A16" s="12" t="s">
        <v>151</v>
      </c>
      <c r="B16" s="13" t="s">
        <v>161</v>
      </c>
      <c r="C16" s="12" t="s">
        <v>148</v>
      </c>
      <c r="D16" s="13"/>
    </row>
    <row r="17" spans="1:4">
      <c r="A17" s="12" t="s">
        <v>153</v>
      </c>
      <c r="B17" s="13" t="s">
        <v>162</v>
      </c>
      <c r="C17" s="12" t="s">
        <v>148</v>
      </c>
      <c r="D17" s="13"/>
    </row>
    <row r="18" spans="1:4">
      <c r="A18" s="12" t="s">
        <v>155</v>
      </c>
      <c r="B18" s="13" t="s">
        <v>163</v>
      </c>
      <c r="C18" s="12" t="s">
        <v>148</v>
      </c>
      <c r="D18" s="13"/>
    </row>
    <row r="20" spans="1:4">
      <c r="A20" s="14" t="s">
        <v>164</v>
      </c>
    </row>
    <row r="21" spans="1:4">
      <c r="A21" s="15" t="s">
        <v>165</v>
      </c>
    </row>
    <row r="22" spans="1:4">
      <c r="A22" s="15" t="s">
        <v>166</v>
      </c>
    </row>
    <row r="25" spans="1:4">
      <c r="A25" s="1" t="s">
        <v>167</v>
      </c>
    </row>
    <row r="26" spans="1:4">
      <c r="A26" s="16" t="s">
        <v>168</v>
      </c>
    </row>
    <row r="27" spans="1:4">
      <c r="A27" s="17" t="s">
        <v>47</v>
      </c>
      <c r="B27" s="10" t="s">
        <v>169</v>
      </c>
      <c r="C27" s="10" t="s">
        <v>170</v>
      </c>
      <c r="D27" s="10" t="s">
        <v>171</v>
      </c>
    </row>
    <row r="28" spans="1:4">
      <c r="A28" s="9" t="s">
        <v>172</v>
      </c>
      <c r="B28" s="7"/>
      <c r="C28" s="7"/>
      <c r="D28" s="7"/>
    </row>
    <row r="29" spans="1:4">
      <c r="A29" s="9" t="s">
        <v>173</v>
      </c>
      <c r="B29" s="7"/>
      <c r="C29" s="7"/>
      <c r="D29" s="7"/>
    </row>
    <row r="30" spans="1:4">
      <c r="A30" s="9" t="s">
        <v>174</v>
      </c>
      <c r="B30" s="7"/>
      <c r="C30" s="7"/>
      <c r="D30" s="7"/>
    </row>
  </sheetData>
  <mergeCells count="2">
    <mergeCell ref="A1:D1"/>
    <mergeCell ref="A2:D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
  <dcterms:created xsi:type="dcterms:W3CDTF">2026-05-07T22:28:42Z</dcterms:created>
  <dcterms:modified xsi:type="dcterms:W3CDTF">2026-06-29T02:09:34Z</dcterms:modified>
  <cp:category/>
  <cp:contentStatus/>
</cp:coreProperties>
</file>